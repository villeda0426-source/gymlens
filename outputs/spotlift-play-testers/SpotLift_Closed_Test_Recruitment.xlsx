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9a078dfac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er Tracker" sheetId="1" r:id="R368b10269829453e"/>
    <x:sheet xmlns:r="http://schemas.openxmlformats.org/officeDocument/2006/relationships" name="Recruitment Plan" sheetId="2" r:id="R4475aa92cfa84913"/>
    <x:sheet xmlns:r="http://schemas.openxmlformats.org/officeDocument/2006/relationships" name="Gym Outreach Script" sheetId="3" r:id="R05d8d1f2ffc9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81827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  <x:font>
      <x:b/>
      <x:sz val="11"/>
      <x:color rgb="FF9F34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F5B5B"/>
      </x:patternFill>
    </x:fill>
    <x:fill>
      <x:patternFill patternType="solid">
        <x:fgColor rgb="FFFFF2EC"/>
      </x:patternFill>
    </x:fill>
    <x:fill>
      <x:patternFill patternType="solid">
        <x:fgColor rgb="FF181827"/>
      </x:patternFill>
    </x:fill>
    <x:fill>
      <x:patternFill patternType="solid">
        <x:fgColor rgb="FFFFFDF9"/>
      </x:patternFill>
    </x:fill>
    <x:fill>
      <x:patternFill patternType="solid">
        <x:fgColor rgb="FFDFF7E8"/>
      </x:patternFill>
    </x:fill>
  </x:fills>
  <x:borders count="7">
    <x:border/>
    <x:border>
      <x:right style="thin">
        <x:color rgb="FFE8D9D2"/>
      </x:right>
    </x:border>
    <x:border>
      <x:left style="thin">
        <x:color rgb="FFE8D9D2"/>
      </x:left>
      <x:right style="thin">
        <x:color rgb="FFE8D9D2"/>
      </x:right>
    </x:border>
    <x:border>
      <x:left style="thin">
        <x:color rgb="FFE8D9D2"/>
      </x:left>
    </x:border>
    <x:border>
      <x:bottom style="thin">
        <x:color rgb="FFE7E7EB"/>
      </x:bottom>
    </x:border>
    <x:border>
      <x:top style="thin">
        <x:color rgb="FFE7E7EB"/>
      </x:top>
      <x:bottom style="thin">
        <x:color rgb="FFE7E7EB"/>
      </x:bottom>
    </x:border>
    <x:border>
      <x:top style="thin">
        <x:color rgb="FFE7E7EB"/>
      </x:top>
    </x:border>
  </x:borders>
  <x:cellStyleXfs count="1">
    <x:xf numFmtId="0" fontId="0" fillId="0" borderId="0"/>
  </x:cellStyleXfs>
  <x:cellXfs count="50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20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20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7a45f46444996" /><Relationship Type="http://schemas.openxmlformats.org/officeDocument/2006/relationships/theme" Target="/xl/theme/theme1.xml" Id="R9228111f9b6e4a56" /><Relationship Type="http://schemas.openxmlformats.org/officeDocument/2006/relationships/sharedStrings" Target="/xl/sharedStrings.xml" Id="Ra88fb958508d4cbc" /><Relationship Type="http://schemas.openxmlformats.org/officeDocument/2006/relationships/worksheet" Target="/xl/worksheets/sheet1.xml" Id="R368b10269829453e" /><Relationship Type="http://schemas.openxmlformats.org/officeDocument/2006/relationships/worksheet" Target="/xl/worksheets/sheet2.xml" Id="R4475aa92cfa84913" /><Relationship Type="http://schemas.openxmlformats.org/officeDocument/2006/relationships/worksheet" Target="/xl/worksheets/sheet3.xml" Id="R05d8d1f2ffc940b0" /></Relationships>
</file>

<file path=xl/tables/table1.xml><?xml version="1.0" encoding="utf-8"?>
<x:table xmlns:x="http://schemas.openxmlformats.org/spreadsheetml/2006/main" id="1" name="TesterTrackerTable" displayName="TesterTrackerTable" ref="A5:N20" headerRowCount="1" totalsRowCount="0" totalsRowShown="0">
  <x:tableColumns count="14">
    <x:tableColumn id="1" name="Tester #"/>
    <x:tableColumn id="2" name="Name"/>
    <x:tableColumn id="3" name="Best Contact"/>
    <x:tableColumn id="4" name="Contact Method"/>
    <x:tableColumn id="5" name="Google Account Email"/>
    <x:tableColumn id="6" name="Android Device"/>
    <x:tableColumn id="7" name="Recruited At"/>
    <x:tableColumn id="8" name="Opted In?"/>
    <x:tableColumn id="9" name="Installed?"/>
    <x:tableColumn id="10" name="Opt-in Date"/>
    <x:tableColumn id="11" name="Day-14 Date"/>
    <x:tableColumn id="12" name="Day-14 Complete?"/>
    <x:tableColumn id="13" name="Feedback Received?"/>
    <x:tableColumn id="14" name="Notes / Follow-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cc865249a24a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4" hidden="0" customWidth="1"/>
    <x:col min="4" max="4" width="16" hidden="0" customWidth="1"/>
    <x:col min="5" max="5" width="30" hidden="0" customWidth="1"/>
    <x:col min="6" max="6" width="22" hidden="0" customWidth="1"/>
    <x:col min="7" max="7" width="18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  <x:col min="12" max="12" width="16" hidden="0" customWidth="1"/>
    <x:col min="13" max="13" width="18" hidden="0" customWidth="1"/>
    <x:col min="14" max="14" width="28" hidden="0" customWidth="1"/>
  </x:cols>
  <x:sheetData>
    <x:row r="1" ht="32" customHeight="1">
      <x:c r="A1" s="5" t="str">
        <x:v>SpotLift — Google Play Closed Test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8" t="str">
        <x:v>Goal</x:v>
      </x:c>
      <x:c r="B2" s="19" t="str">
        <x:v>12 active testers</x:v>
      </x:c>
      <x:c r="C2" s="19" t="str">
        <x:v>Test length</x:v>
      </x:c>
      <x:c r="D2" s="19" t="str">
        <x:v>14 consecutive days</x:v>
      </x:c>
      <x:c r="E2" s="19" t="str">
        <x:v>Target platform</x:v>
      </x:c>
      <x:c r="F2" s="19" t="str">
        <x:v>Android + Google account</x:v>
      </x:c>
      <x:c r="G2" s="19" t="str">
        <x:v>Start date</x:v>
      </x:c>
      <x:c r="H2" s="20"/>
      <x:c r="I2" s="19" t="str">
        <x:v>Earliest eligible date</x:v>
      </x:c>
      <x:c r="J2" s="20" t="str">
        <x:f>IF(H2="","",H2+14)</x:f>
      </x:c>
      <x:c r="K2" s="19" t="str">
        <x:v>Opted in</x:v>
      </x:c>
      <x:c r="L2" s="19" t="n">
        <x:f>COUNTIF(H6:H20,"Yes")</x:f>
        <x:v>0</x:v>
      </x:c>
      <x:c r="M2" s="19" t="str">
        <x:v>Installed</x:v>
      </x:c>
      <x:c r="N2" s="21" t="n">
        <x:f>COUNTIF(I6:I20,"Yes")</x:f>
        <x:v>0</x:v>
      </x:c>
    </x:row>
    <x:row r="5" ht="34" customHeight="1">
      <x:c r="A5" s="26" t="str">
        <x:v>Tester #</x:v>
      </x:c>
      <x:c r="B5" s="26" t="str">
        <x:v>Name</x:v>
      </x:c>
      <x:c r="C5" s="26" t="str">
        <x:v>Best Contact</x:v>
      </x:c>
      <x:c r="D5" s="26" t="str">
        <x:v>Contact Method</x:v>
      </x:c>
      <x:c r="E5" s="26" t="str">
        <x:v>Google Account Email</x:v>
      </x:c>
      <x:c r="F5" s="26" t="str">
        <x:v>Android Device</x:v>
      </x:c>
      <x:c r="G5" s="26" t="str">
        <x:v>Recruited At</x:v>
      </x:c>
      <x:c r="H5" s="26" t="str">
        <x:v>Opted In?</x:v>
      </x:c>
      <x:c r="I5" s="26" t="str">
        <x:v>Installed?</x:v>
      </x:c>
      <x:c r="J5" s="26" t="str">
        <x:v>Opt-in Date</x:v>
      </x:c>
      <x:c r="K5" s="26" t="str">
        <x:v>Day-14 Date</x:v>
      </x:c>
      <x:c r="L5" s="26" t="str">
        <x:v>Day-14 Complete?</x:v>
      </x:c>
      <x:c r="M5" s="26" t="str">
        <x:v>Feedback Received?</x:v>
      </x:c>
      <x:c r="N5" s="26" t="str">
        <x:v>Notes / Follow-up</x:v>
      </x:c>
    </x:row>
    <x:row r="6" ht="26" customHeight="1">
      <x:c r="A6" s="31" t="n">
        <x:v>1</x:v>
      </x:c>
      <x:c r="B6" s="35" t="str"/>
      <x:c r="C6" s="35" t="str"/>
      <x:c r="D6" s="35" t="str"/>
      <x:c r="E6" s="35" t="str"/>
      <x:c r="F6" s="35" t="str"/>
      <x:c r="G6" s="35" t="str"/>
      <x:c r="H6" s="31" t="str">
        <x:v>No</x:v>
      </x:c>
      <x:c r="I6" s="31" t="str">
        <x:v>No</x:v>
      </x:c>
      <x:c r="J6" s="33"/>
      <x:c r="K6" s="33" t="str">
        <x:f>IF(J6="","",J6+14)</x:f>
      </x:c>
      <x:c r="L6" s="31" t="str">
        <x:f>IF(AND(H6="Yes",TODAY()&gt;=K6),"Yes","No")</x:f>
        <x:v>No</x:v>
      </x:c>
      <x:c r="M6" s="31" t="str">
        <x:v>No</x:v>
      </x:c>
      <x:c r="N6" s="27" t="str">
        <x:v>Required tester</x:v>
      </x:c>
    </x:row>
    <x:row r="7" ht="26" customHeight="1">
      <x:c r="A7" s="31" t="n">
        <x:v>2</x:v>
      </x:c>
      <x:c r="B7" s="35" t="str"/>
      <x:c r="C7" s="35" t="str"/>
      <x:c r="D7" s="35" t="str"/>
      <x:c r="E7" s="35" t="str"/>
      <x:c r="F7" s="35" t="str"/>
      <x:c r="G7" s="35" t="str"/>
      <x:c r="H7" s="31" t="str">
        <x:v>No</x:v>
      </x:c>
      <x:c r="I7" s="31" t="str">
        <x:v>No</x:v>
      </x:c>
      <x:c r="J7" s="33"/>
      <x:c r="K7" s="33" t="str">
        <x:f>IF(J7="","",J7+14)</x:f>
      </x:c>
      <x:c r="L7" s="31" t="str">
        <x:f>IF(AND(H7="Yes",TODAY()&gt;=K7),"Yes","No")</x:f>
        <x:v>No</x:v>
      </x:c>
      <x:c r="M7" s="31" t="str">
        <x:v>No</x:v>
      </x:c>
      <x:c r="N7" s="27" t="str">
        <x:v>Required tester</x:v>
      </x:c>
    </x:row>
    <x:row r="8" ht="26" customHeight="1">
      <x:c r="A8" s="31" t="n">
        <x:v>3</x:v>
      </x:c>
      <x:c r="B8" s="35" t="str"/>
      <x:c r="C8" s="35" t="str"/>
      <x:c r="D8" s="35" t="str"/>
      <x:c r="E8" s="35" t="str"/>
      <x:c r="F8" s="35" t="str"/>
      <x:c r="G8" s="35" t="str"/>
      <x:c r="H8" s="31" t="str">
        <x:v>No</x:v>
      </x:c>
      <x:c r="I8" s="31" t="str">
        <x:v>No</x:v>
      </x:c>
      <x:c r="J8" s="33"/>
      <x:c r="K8" s="33" t="str">
        <x:f>IF(J8="","",J8+14)</x:f>
      </x:c>
      <x:c r="L8" s="31" t="str">
        <x:f>IF(AND(H8="Yes",TODAY()&gt;=K8),"Yes","No")</x:f>
        <x:v>No</x:v>
      </x:c>
      <x:c r="M8" s="31" t="str">
        <x:v>No</x:v>
      </x:c>
      <x:c r="N8" s="27" t="str">
        <x:v>Required tester</x:v>
      </x:c>
    </x:row>
    <x:row r="9" ht="26" customHeight="1">
      <x:c r="A9" s="31" t="n">
        <x:v>4</x:v>
      </x:c>
      <x:c r="B9" s="35" t="str"/>
      <x:c r="C9" s="35" t="str"/>
      <x:c r="D9" s="35" t="str"/>
      <x:c r="E9" s="35" t="str"/>
      <x:c r="F9" s="35" t="str"/>
      <x:c r="G9" s="35" t="str"/>
      <x:c r="H9" s="31" t="str">
        <x:v>No</x:v>
      </x:c>
      <x:c r="I9" s="31" t="str">
        <x:v>No</x:v>
      </x:c>
      <x:c r="J9" s="33"/>
      <x:c r="K9" s="33" t="str">
        <x:f>IF(J9="","",J9+14)</x:f>
      </x:c>
      <x:c r="L9" s="31" t="str">
        <x:f>IF(AND(H9="Yes",TODAY()&gt;=K9),"Yes","No")</x:f>
        <x:v>No</x:v>
      </x:c>
      <x:c r="M9" s="31" t="str">
        <x:v>No</x:v>
      </x:c>
      <x:c r="N9" s="27" t="str">
        <x:v>Required tester</x:v>
      </x:c>
    </x:row>
    <x:row r="10" ht="26" customHeight="1">
      <x:c r="A10" s="31" t="n">
        <x:v>5</x:v>
      </x:c>
      <x:c r="B10" s="35" t="str"/>
      <x:c r="C10" s="35" t="str"/>
      <x:c r="D10" s="35" t="str"/>
      <x:c r="E10" s="35" t="str"/>
      <x:c r="F10" s="35" t="str"/>
      <x:c r="G10" s="35" t="str"/>
      <x:c r="H10" s="31" t="str">
        <x:v>No</x:v>
      </x:c>
      <x:c r="I10" s="31" t="str">
        <x:v>No</x:v>
      </x:c>
      <x:c r="J10" s="33"/>
      <x:c r="K10" s="33" t="str">
        <x:f>IF(J10="","",J10+14)</x:f>
      </x:c>
      <x:c r="L10" s="31" t="str">
        <x:f>IF(AND(H10="Yes",TODAY()&gt;=K10),"Yes","No")</x:f>
        <x:v>No</x:v>
      </x:c>
      <x:c r="M10" s="31" t="str">
        <x:v>No</x:v>
      </x:c>
      <x:c r="N10" s="27" t="str">
        <x:v>Required tester</x:v>
      </x:c>
    </x:row>
    <x:row r="11" ht="26" customHeight="1">
      <x:c r="A11" s="31" t="n">
        <x:v>6</x:v>
      </x:c>
      <x:c r="B11" s="35" t="str"/>
      <x:c r="C11" s="35" t="str"/>
      <x:c r="D11" s="35" t="str"/>
      <x:c r="E11" s="35" t="str"/>
      <x:c r="F11" s="35" t="str"/>
      <x:c r="G11" s="35" t="str"/>
      <x:c r="H11" s="31" t="str">
        <x:v>No</x:v>
      </x:c>
      <x:c r="I11" s="31" t="str">
        <x:v>No</x:v>
      </x:c>
      <x:c r="J11" s="33"/>
      <x:c r="K11" s="33" t="str">
        <x:f>IF(J11="","",J11+14)</x:f>
      </x:c>
      <x:c r="L11" s="31" t="str">
        <x:f>IF(AND(H11="Yes",TODAY()&gt;=K11),"Yes","No")</x:f>
        <x:v>No</x:v>
      </x:c>
      <x:c r="M11" s="31" t="str">
        <x:v>No</x:v>
      </x:c>
      <x:c r="N11" s="27" t="str">
        <x:v>Required tester</x:v>
      </x:c>
    </x:row>
    <x:row r="12" ht="26" customHeight="1">
      <x:c r="A12" s="31" t="n">
        <x:v>7</x:v>
      </x:c>
      <x:c r="B12" s="35" t="str"/>
      <x:c r="C12" s="35" t="str"/>
      <x:c r="D12" s="35" t="str"/>
      <x:c r="E12" s="35" t="str"/>
      <x:c r="F12" s="35" t="str"/>
      <x:c r="G12" s="35" t="str"/>
      <x:c r="H12" s="31" t="str">
        <x:v>No</x:v>
      </x:c>
      <x:c r="I12" s="31" t="str">
        <x:v>No</x:v>
      </x:c>
      <x:c r="J12" s="33"/>
      <x:c r="K12" s="33" t="str">
        <x:f>IF(J12="","",J12+14)</x:f>
      </x:c>
      <x:c r="L12" s="31" t="str">
        <x:f>IF(AND(H12="Yes",TODAY()&gt;=K12),"Yes","No")</x:f>
        <x:v>No</x:v>
      </x:c>
      <x:c r="M12" s="31" t="str">
        <x:v>No</x:v>
      </x:c>
      <x:c r="N12" s="27" t="str">
        <x:v>Required tester</x:v>
      </x:c>
    </x:row>
    <x:row r="13" ht="26" customHeight="1">
      <x:c r="A13" s="31" t="n">
        <x:v>8</x:v>
      </x:c>
      <x:c r="B13" s="35" t="str"/>
      <x:c r="C13" s="35" t="str"/>
      <x:c r="D13" s="35" t="str"/>
      <x:c r="E13" s="35" t="str"/>
      <x:c r="F13" s="35" t="str"/>
      <x:c r="G13" s="35" t="str"/>
      <x:c r="H13" s="31" t="str">
        <x:v>No</x:v>
      </x:c>
      <x:c r="I13" s="31" t="str">
        <x:v>No</x:v>
      </x:c>
      <x:c r="J13" s="33"/>
      <x:c r="K13" s="33" t="str">
        <x:f>IF(J13="","",J13+14)</x:f>
      </x:c>
      <x:c r="L13" s="31" t="str">
        <x:f>IF(AND(H13="Yes",TODAY()&gt;=K13),"Yes","No")</x:f>
        <x:v>No</x:v>
      </x:c>
      <x:c r="M13" s="31" t="str">
        <x:v>No</x:v>
      </x:c>
      <x:c r="N13" s="27" t="str">
        <x:v>Required tester</x:v>
      </x:c>
    </x:row>
    <x:row r="14" ht="26" customHeight="1">
      <x:c r="A14" s="31" t="n">
        <x:v>9</x:v>
      </x:c>
      <x:c r="B14" s="35" t="str"/>
      <x:c r="C14" s="35" t="str"/>
      <x:c r="D14" s="35" t="str"/>
      <x:c r="E14" s="35" t="str"/>
      <x:c r="F14" s="35" t="str"/>
      <x:c r="G14" s="35" t="str"/>
      <x:c r="H14" s="31" t="str">
        <x:v>No</x:v>
      </x:c>
      <x:c r="I14" s="31" t="str">
        <x:v>No</x:v>
      </x:c>
      <x:c r="J14" s="33"/>
      <x:c r="K14" s="33" t="str">
        <x:f>IF(J14="","",J14+14)</x:f>
      </x:c>
      <x:c r="L14" s="31" t="str">
        <x:f>IF(AND(H14="Yes",TODAY()&gt;=K14),"Yes","No")</x:f>
        <x:v>No</x:v>
      </x:c>
      <x:c r="M14" s="31" t="str">
        <x:v>No</x:v>
      </x:c>
      <x:c r="N14" s="27" t="str">
        <x:v>Required tester</x:v>
      </x:c>
    </x:row>
    <x:row r="15" ht="26" customHeight="1">
      <x:c r="A15" s="31" t="n">
        <x:v>10</x:v>
      </x:c>
      <x:c r="B15" s="35" t="str"/>
      <x:c r="C15" s="35" t="str"/>
      <x:c r="D15" s="35" t="str"/>
      <x:c r="E15" s="35" t="str"/>
      <x:c r="F15" s="35" t="str"/>
      <x:c r="G15" s="35" t="str"/>
      <x:c r="H15" s="31" t="str">
        <x:v>No</x:v>
      </x:c>
      <x:c r="I15" s="31" t="str">
        <x:v>No</x:v>
      </x:c>
      <x:c r="J15" s="33"/>
      <x:c r="K15" s="33" t="str">
        <x:f>IF(J15="","",J15+14)</x:f>
      </x:c>
      <x:c r="L15" s="31" t="str">
        <x:f>IF(AND(H15="Yes",TODAY()&gt;=K15),"Yes","No")</x:f>
        <x:v>No</x:v>
      </x:c>
      <x:c r="M15" s="31" t="str">
        <x:v>No</x:v>
      </x:c>
      <x:c r="N15" s="27" t="str">
        <x:v>Required tester</x:v>
      </x:c>
    </x:row>
    <x:row r="16" ht="26" customHeight="1">
      <x:c r="A16" s="31" t="n">
        <x:v>11</x:v>
      </x:c>
      <x:c r="B16" s="35" t="str"/>
      <x:c r="C16" s="35" t="str"/>
      <x:c r="D16" s="35" t="str"/>
      <x:c r="E16" s="35" t="str"/>
      <x:c r="F16" s="35" t="str"/>
      <x:c r="G16" s="35" t="str"/>
      <x:c r="H16" s="31" t="str">
        <x:v>No</x:v>
      </x:c>
      <x:c r="I16" s="31" t="str">
        <x:v>No</x:v>
      </x:c>
      <x:c r="J16" s="33"/>
      <x:c r="K16" s="33" t="str">
        <x:f>IF(J16="","",J16+14)</x:f>
      </x:c>
      <x:c r="L16" s="31" t="str">
        <x:f>IF(AND(H16="Yes",TODAY()&gt;=K16),"Yes","No")</x:f>
        <x:v>No</x:v>
      </x:c>
      <x:c r="M16" s="31" t="str">
        <x:v>No</x:v>
      </x:c>
      <x:c r="N16" s="27" t="str">
        <x:v>Required tester</x:v>
      </x:c>
    </x:row>
    <x:row r="17" ht="26" customHeight="1">
      <x:c r="A17" s="31" t="n">
        <x:v>12</x:v>
      </x:c>
      <x:c r="B17" s="35" t="str"/>
      <x:c r="C17" s="35" t="str"/>
      <x:c r="D17" s="35" t="str"/>
      <x:c r="E17" s="35" t="str"/>
      <x:c r="F17" s="35" t="str"/>
      <x:c r="G17" s="35" t="str"/>
      <x:c r="H17" s="31" t="str">
        <x:v>No</x:v>
      </x:c>
      <x:c r="I17" s="31" t="str">
        <x:v>No</x:v>
      </x:c>
      <x:c r="J17" s="33"/>
      <x:c r="K17" s="33" t="str">
        <x:f>IF(J17="","",J17+14)</x:f>
      </x:c>
      <x:c r="L17" s="31" t="str">
        <x:f>IF(AND(H17="Yes",TODAY()&gt;=K17),"Yes","No")</x:f>
        <x:v>No</x:v>
      </x:c>
      <x:c r="M17" s="31" t="str">
        <x:v>No</x:v>
      </x:c>
      <x:c r="N17" s="27" t="str">
        <x:v>Required tester</x:v>
      </x:c>
    </x:row>
    <x:row r="18" ht="26" customHeight="1">
      <x:c r="A18" s="31" t="n">
        <x:v>13</x:v>
      </x:c>
      <x:c r="B18" s="35" t="str"/>
      <x:c r="C18" s="35" t="str"/>
      <x:c r="D18" s="35" t="str"/>
      <x:c r="E18" s="35" t="str"/>
      <x:c r="F18" s="35" t="str"/>
      <x:c r="G18" s="35" t="str"/>
      <x:c r="H18" s="31" t="str">
        <x:v>No</x:v>
      </x:c>
      <x:c r="I18" s="31" t="str">
        <x:v>No</x:v>
      </x:c>
      <x:c r="J18" s="33"/>
      <x:c r="K18" s="33" t="str">
        <x:f>IF(J18="","",J18+14)</x:f>
      </x:c>
      <x:c r="L18" s="31" t="str">
        <x:f>IF(AND(H18="Yes",TODAY()&gt;=K18),"Yes","No")</x:f>
        <x:v>No</x:v>
      </x:c>
      <x:c r="M18" s="31" t="str">
        <x:v>No</x:v>
      </x:c>
      <x:c r="N18" s="27" t="str">
        <x:v>Backup tester</x:v>
      </x:c>
    </x:row>
    <x:row r="19" ht="26" customHeight="1">
      <x:c r="A19" s="31" t="n">
        <x:v>14</x:v>
      </x:c>
      <x:c r="B19" s="35" t="str"/>
      <x:c r="C19" s="35" t="str"/>
      <x:c r="D19" s="35" t="str"/>
      <x:c r="E19" s="35" t="str"/>
      <x:c r="F19" s="35" t="str"/>
      <x:c r="G19" s="35" t="str"/>
      <x:c r="H19" s="31" t="str">
        <x:v>No</x:v>
      </x:c>
      <x:c r="I19" s="31" t="str">
        <x:v>No</x:v>
      </x:c>
      <x:c r="J19" s="33"/>
      <x:c r="K19" s="33" t="str">
        <x:f>IF(J19="","",J19+14)</x:f>
      </x:c>
      <x:c r="L19" s="31" t="str">
        <x:f>IF(AND(H19="Yes",TODAY()&gt;=K19),"Yes","No")</x:f>
        <x:v>No</x:v>
      </x:c>
      <x:c r="M19" s="31" t="str">
        <x:v>No</x:v>
      </x:c>
      <x:c r="N19" s="27" t="str">
        <x:v>Backup tester</x:v>
      </x:c>
    </x:row>
    <x:row r="20" ht="26" customHeight="1">
      <x:c r="A20" s="32" t="n">
        <x:v>15</x:v>
      </x:c>
      <x:c r="B20" s="36" t="str"/>
      <x:c r="C20" s="36" t="str"/>
      <x:c r="D20" s="36" t="str"/>
      <x:c r="E20" s="36" t="str"/>
      <x:c r="F20" s="36" t="str"/>
      <x:c r="G20" s="36" t="str"/>
      <x:c r="H20" s="32" t="str">
        <x:v>No</x:v>
      </x:c>
      <x:c r="I20" s="32" t="str">
        <x:v>No</x:v>
      </x:c>
      <x:c r="J20" s="34"/>
      <x:c r="K20" s="34" t="str">
        <x:f>IF(J20="","",J20+14)</x:f>
      </x:c>
      <x:c r="L20" s="32" t="str">
        <x:f>IF(AND(H20="Yes",TODAY()&gt;=K20),"Yes","No")</x:f>
        <x:v>No</x:v>
      </x:c>
      <x:c r="M20" s="32" t="str">
        <x:v>No</x:v>
      </x:c>
      <x:c r="N20" s="29" t="str">
        <x:v>Backup tester</x:v>
      </x:c>
    </x:row>
  </x:sheetData>
  <x:mergeCells>
    <x:mergeCell ref="A1:N1"/>
  </x:mergeCells>
  <x:conditionalFormatting sqref="H6:M20">
    <x:cfRule type="containsText" dxfId="0" priority="1" operator="containsText" text="Yes"/>
    <x:cfRule type="containsText" dxfId="1" priority="2" operator="containsText" text="No"/>
  </x:conditionalFormatting>
  <x:dataValidations count="5">
    <x:dataValidation type="list" sqref="D6:D20">
      <x:formula1>"Text,Email,Instagram,In person,Other"</x:formula1>
    </x:dataValidation>
    <x:dataValidation type="list" sqref="H6:H20">
      <x:formula1>"No,Yes"</x:formula1>
    </x:dataValidation>
    <x:dataValidation type="list" sqref="I6:I20">
      <x:formula1>"No,Yes"</x:formula1>
    </x:dataValidation>
    <x:dataValidation type="list" sqref="L6:L20">
      <x:formula1>"No,Yes"</x:formula1>
    </x:dataValidation>
    <x:dataValidation type="list" sqref="M6:M2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cc865249a24aa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6" hidden="0" customWidth="1"/>
    <x:col min="4" max="4" width="18" hidden="0" customWidth="1"/>
    <x:col min="5" max="5" width="30" hidden="0" customWidth="1"/>
    <x:col min="6" max="6" width="34" hidden="0" customWidth="1"/>
  </x:cols>
  <x:sheetData>
    <x:row r="1" ht="34" customHeight="1">
      <x:c r="A1" s="43" t="str">
        <x:v>One Plan: Recruit 15 Gym Testers, Keep 12 Active</x:v>
      </x:c>
      <x:c r="B1" s="43"/>
      <x:c r="C1" s="43"/>
      <x:c r="D1" s="43"/>
      <x:c r="E1" s="43"/>
      <x:c r="F1" s="43"/>
    </x:row>
    <x:row r="2">
      <x:c r="A2" s="44"/>
      <x:c r="B2" s="44"/>
      <x:c r="C2" s="44"/>
      <x:c r="D2" s="44"/>
      <x:c r="E2" s="44"/>
      <x:c r="F2" s="44"/>
    </x:row>
    <x:row r="3">
      <x:c r="A3" s="45" t="str">
        <x:v>Phase</x:v>
      </x:c>
      <x:c r="B3" s="45" t="str">
        <x:v>Action</x:v>
      </x:c>
      <x:c r="C3" s="45" t="str">
        <x:v>Owner</x:v>
      </x:c>
      <x:c r="D3" s="45" t="str">
        <x:v>Timing</x:v>
      </x:c>
      <x:c r="E3" s="45" t="str">
        <x:v>Success Check</x:v>
      </x:c>
      <x:c r="F3" s="45" t="str">
        <x:v>Notes</x:v>
      </x:c>
    </x:row>
    <x:row r="4" ht="48" customHeight="1">
      <x:c r="A4" s="46" t="str">
        <x:v>1. Prepare</x:v>
      </x:c>
      <x:c r="B4" s="46" t="str">
        <x:v>Finish Play Console setup and publish the closed-testing release.</x:v>
      </x:c>
      <x:c r="C4" s="46" t="str">
        <x:v>Founder</x:v>
      </x:c>
      <x:c r="D4" s="46" t="str">
        <x:v>Before recruiting</x:v>
      </x:c>
      <x:c r="E4" s="46" t="str">
        <x:v>Opt-in link works on an Android phone</x:v>
      </x:c>
      <x:c r="F4" s="46" t="str">
        <x:v>Do one install yourself first.</x:v>
      </x:c>
    </x:row>
    <x:row r="5" ht="48" customHeight="1">
      <x:c r="A5" s="46" t="str">
        <x:v>2. Recruit</x:v>
      </x:c>
      <x:c r="B5" s="46" t="str">
        <x:v>Approach Android users at your gym and ask for a 14-day beta test.</x:v>
      </x:c>
      <x:c r="C5" s="46" t="str">
        <x:v>Founder</x:v>
      </x:c>
      <x:c r="D5" s="46" t="str">
        <x:v>2–3 gym visits</x:v>
      </x:c>
      <x:c r="E5" s="46" t="str">
        <x:v>15 interested testers recorded</x:v>
      </x:c>
      <x:c r="F5" s="46" t="str">
        <x:v>Recruit 3 backups because some people will drop.</x:v>
      </x:c>
    </x:row>
    <x:row r="6" ht="48" customHeight="1">
      <x:c r="A6" s="46" t="str">
        <x:v>3. Enroll</x:v>
      </x:c>
      <x:c r="B6" s="46" t="str">
        <x:v>Add each tester's Google-account email, then send the Play opt-in link.</x:v>
      </x:c>
      <x:c r="C6" s="46" t="str">
        <x:v>Founder</x:v>
      </x:c>
      <x:c r="D6" s="46" t="str">
        <x:v>Same day</x:v>
      </x:c>
      <x:c r="E6" s="46" t="str">
        <x:v>At least 12 show as opted in</x:v>
      </x:c>
      <x:c r="F6" s="46" t="str">
        <x:v>The email must be tied to Google Play on their device.</x:v>
      </x:c>
    </x:row>
    <x:row r="7" ht="48" customHeight="1">
      <x:c r="A7" s="46" t="str">
        <x:v>4. Install</x:v>
      </x:c>
      <x:c r="B7" s="46" t="str">
        <x:v>Tester accepts the invitation and installs SpotLift from the closed-test Play link.</x:v>
      </x:c>
      <x:c r="C7" s="46" t="str">
        <x:v>Tester</x:v>
      </x:c>
      <x:c r="D7" s="46" t="str">
        <x:v>Day 0</x:v>
      </x:c>
      <x:c r="E7" s="46" t="str">
        <x:v>At least 12 installed</x:v>
      </x:c>
      <x:c r="F7" s="46" t="str">
        <x:v>They should not use a separately shared APK.</x:v>
      </x:c>
    </x:row>
    <x:row r="8" ht="48" customHeight="1">
      <x:c r="A8" s="46" t="str">
        <x:v>5. Exercise</x:v>
      </x:c>
      <x:c r="B8" s="46" t="str">
        <x:v>Ask each tester to scan equipment, search an exercise, and try Coach/weekly planning.</x:v>
      </x:c>
      <x:c r="C8" s="46" t="str">
        <x:v>Tester</x:v>
      </x:c>
      <x:c r="D8" s="46" t="str">
        <x:v>Days 1–10</x:v>
      </x:c>
      <x:c r="E8" s="46" t="str">
        <x:v>Core flows tried</x:v>
      </x:c>
      <x:c r="F8" s="46" t="str">
        <x:v>Short, genuine use is better than passive enrollment.</x:v>
      </x:c>
    </x:row>
    <x:row r="9" ht="48" customHeight="1">
      <x:c r="A9" s="46" t="str">
        <x:v>6. Follow up</x:v>
      </x:c>
      <x:c r="B9" s="46" t="str">
        <x:v>Message testers twice and collect one useful note from each.</x:v>
      </x:c>
      <x:c r="C9" s="46" t="str">
        <x:v>Founder</x:v>
      </x:c>
      <x:c r="D9" s="46" t="str">
        <x:v>Days 4 and 10</x:v>
      </x:c>
      <x:c r="E9" s="46" t="str">
        <x:v>Feedback recorded</x:v>
      </x:c>
      <x:c r="F9" s="46" t="str">
        <x:v>Keep everyone opted in for the full period.</x:v>
      </x:c>
    </x:row>
    <x:row r="10" ht="48" customHeight="1">
      <x:c r="A10" s="46" t="str">
        <x:v>7. Apply</x:v>
      </x:c>
      <x:c r="B10" s="46" t="str">
        <x:v>After Play confirms 12 testers for 14 consecutive days, apply for production access.</x:v>
      </x:c>
      <x:c r="C10" s="46" t="str">
        <x:v>Founder</x:v>
      </x:c>
      <x:c r="D10" s="46" t="str">
        <x:v>Day 15+</x:v>
      </x:c>
      <x:c r="E10" s="46" t="str">
        <x:v>Production application enabled</x:v>
      </x:c>
      <x:c r="F10" s="46" t="str">
        <x:v>Google reviews the testing answers before production access.</x:v>
      </x:c>
    </x:row>
    <x:row r="11">
      <x:c r="A11" s="46"/>
      <x:c r="B11" s="46"/>
      <x:c r="C11" s="46"/>
      <x:c r="D11" s="46"/>
      <x:c r="E11" s="46"/>
      <x:c r="F11" s="46"/>
    </x:row>
    <x:row r="12">
      <x:c r="A12" s="47" t="str">
        <x:v>Tester requirements</x:v>
      </x:c>
      <x:c r="B12" s="47" t="str">
        <x:v>Android phone or tablet</x:v>
      </x:c>
      <x:c r="C12" s="47" t="str">
        <x:v>Google account used in Play Store</x:v>
      </x:c>
      <x:c r="D12" s="47" t="str">
        <x:v>Opt in through the test link</x:v>
      </x:c>
      <x:c r="E12" s="47" t="str">
        <x:v>Install from Google Play</x:v>
      </x:c>
      <x:c r="F12" s="47" t="str">
        <x:v>Remain opted in for 14 days</x:v>
      </x:c>
    </x:row>
    <x:row r="13">
      <x:c r="A13" s="46"/>
      <x:c r="B13" s="46"/>
      <x:c r="C13" s="46"/>
      <x:c r="D13" s="46"/>
      <x:c r="E13" s="46"/>
      <x:c r="F13" s="46"/>
    </x:row>
    <x:row r="14" ht="42" customHeight="1">
      <x:c r="A14" s="48" t="str">
        <x:v>Recommended pitch</x:v>
      </x:c>
      <x:c r="B14" s="46" t="str">
        <x:v>“I built SpotLift to explain gym machines and make workouts easier. Could you test the Android beta for 14 days? It takes about 10 minutes to install and try.”</x:v>
      </x:c>
      <x:c r="C14" s="46" t="str"/>
      <x:c r="D14" s="46" t="str"/>
      <x:c r="E14" s="46" t="str"/>
      <x:c r="F14" s="46" t="str"/>
    </x:row>
    <x:row r="15" ht="42" customHeight="1">
      <x:c r="A15" s="48" t="str">
        <x:v>Incentive idea</x:v>
      </x:c>
      <x:c r="B15" s="46" t="str">
        <x:v>Offer a free form walkthrough, coffee/protein shake, or early-feature input—not payment for a positive review.</x:v>
      </x:c>
      <x:c r="C15" s="46" t="str"/>
      <x:c r="D15" s="46" t="str"/>
      <x:c r="E15" s="46" t="str"/>
      <x:c r="F15" s="46" t="str"/>
    </x:row>
    <x:row r="16" ht="42" customHeight="1">
      <x:c r="A16" s="48" t="str">
        <x:v>Important</x:v>
      </x:c>
      <x:c r="B16" s="46" t="str">
        <x:v>Do not ask testers to post ratings or reviews during the closed test. Ask for private, honest feedback instead.</x:v>
      </x:c>
      <x:c r="C16" s="46" t="str"/>
      <x:c r="D16" s="46" t="str"/>
      <x:c r="E16" s="46" t="str"/>
      <x:c r="F16" s="46" t="str"/>
    </x:row>
    <x:row r="17" ht="42" customHeight="1">
      <x:c r="A17" s="48" t="str">
        <x:v>Source</x:v>
      </x:c>
      <x:c r="B17" s="46" t="str">
        <x:v>Google Play Console requirement shown for this account: 12 opted-in testers for at least 14 days.</x:v>
      </x:c>
      <x:c r="C17" s="46" t="str"/>
      <x:c r="D17" s="46" t="str"/>
      <x:c r="E17" s="46" t="str"/>
      <x:c r="F17" s="46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  <x:col min="3" max="3" width="34" hidden="0" customWidth="1"/>
    <x:col min="4" max="4" width="28" hidden="0" customWidth="1"/>
  </x:cols>
  <x:sheetData>
    <x:row r="1" ht="34" customHeight="1">
      <x:c r="A1" s="43" t="str">
        <x:v>Gym Recruitment Scripts &amp; Follow-ups</x:v>
      </x:c>
      <x:c r="B1" s="43"/>
      <x:c r="C1" s="43"/>
      <x:c r="D1" s="43"/>
    </x:row>
    <x:row r="2">
      <x:c r="A2" s="44"/>
      <x:c r="B2" s="44"/>
      <x:c r="C2" s="44"/>
      <x:c r="D2" s="44"/>
    </x:row>
    <x:row r="3">
      <x:c r="A3" s="49" t="str">
        <x:v>Moment</x:v>
      </x:c>
      <x:c r="B3" s="49" t="str">
        <x:v>Suggested wording</x:v>
      </x:c>
      <x:c r="C3" s="49" t="str">
        <x:v>What you need</x:v>
      </x:c>
      <x:c r="D3" s="49" t="str">
        <x:v>Tracker update</x:v>
      </x:c>
    </x:row>
    <x:row r="4" ht="62" customHeight="1">
      <x:c r="A4" s="46" t="str">
        <x:v>In-person opener</x:v>
      </x:c>
      <x:c r="B4" s="46" t="str">
        <x:v>Hey—quick question. I built an Android app called SpotLift that scans gym equipment and explains how to use it. I need a few real gym users to test it for 14 days. Would you be open to trying it?</x:v>
      </x:c>
      <x:c r="C4" s="46" t="str">
        <x:v>Android device + Google account</x:v>
      </x:c>
      <x:c r="D4" s="46" t="str">
        <x:v>Add name and best contact</x:v>
      </x:c>
    </x:row>
    <x:row r="5" ht="62" customHeight="1">
      <x:c r="A5" s="46" t="str">
        <x:v>If interested</x:v>
      </x:c>
      <x:c r="B5" s="46" t="str">
        <x:v>Awesome. I’ll send you a private Google Play test link. You accept it with the Google account on your Android phone, install the app, and try a few gym flows over the next two weeks.</x:v>
      </x:c>
      <x:c r="C5" s="46" t="str">
        <x:v>Google-account email</x:v>
      </x:c>
      <x:c r="D5" s="46" t="str">
        <x:v>Record email and device</x:v>
      </x:c>
    </x:row>
    <x:row r="6" ht="62" customHeight="1">
      <x:c r="A6" s="46" t="str">
        <x:v>Opt-in message</x:v>
      </x:c>
      <x:c r="B6" s="46" t="str">
        <x:v>Here’s the private SpotLift Android beta link: [PASTE OPT-IN LINK]. Open it with the same Google account used in your Play Store, tap Become a tester, then install SpotLift.</x:v>
      </x:c>
      <x:c r="C6" s="46" t="str">
        <x:v>Opt-in link</x:v>
      </x:c>
      <x:c r="D6" s="46" t="str">
        <x:v>Mark Opted In and date</x:v>
      </x:c>
    </x:row>
    <x:row r="7" ht="62" customHeight="1">
      <x:c r="A7" s="46" t="str">
        <x:v>Day 4 follow-up</x:v>
      </x:c>
      <x:c r="B7" s="46" t="str">
        <x:v>How did SpotLift do with the equipment you tried? If anything was confusing or slow, send me one sentence or a screenshot.</x:v>
      </x:c>
      <x:c r="C7" s="46" t="str">
        <x:v>Private feedback</x:v>
      </x:c>
      <x:c r="D7" s="46" t="str">
        <x:v>Record feedback</x:v>
      </x:c>
    </x:row>
    <x:row r="8" ht="62" customHeight="1">
      <x:c r="A8" s="46" t="str">
        <x:v>Day 10 follow-up</x:v>
      </x:c>
      <x:c r="B8" s="46" t="str">
        <x:v>Thanks again for testing SpotLift. Please stay opted in through [DAY-14 DATE]. Is there one feature you’d keep, change, or remove?</x:v>
      </x:c>
      <x:c r="C8" s="46" t="str">
        <x:v>Retention through day 14</x:v>
      </x:c>
      <x:c r="D8" s="46" t="str">
        <x:v>Confirm still active</x:v>
      </x:c>
    </x:row>
    <x:row r="9" ht="62" customHeight="1">
      <x:c r="A9" s="46" t="str">
        <x:v>Day 14 thank-you</x:v>
      </x:c>
      <x:c r="B9" s="46" t="str">
        <x:v>You made it through the full beta—thank you. Your testing directly helps SpotLift qualify for the Play Store launch.</x:v>
      </x:c>
      <x:c r="C9" s="46" t="str">
        <x:v>Thank-you</x:v>
      </x:c>
      <x:c r="D9" s="46" t="str">
        <x:v>Mark Day-14 Complete</x:v>
      </x:c>
    </x:row>
    <x:row r="10">
      <x:c r="A10" s="46"/>
      <x:c r="B10" s="46"/>
      <x:c r="C10" s="46"/>
      <x:c r="D10" s="46"/>
    </x:row>
    <x:row r="11" ht="48" customHeight="1">
      <x:c r="A11" s="47" t="str">
        <x:v>Tester quick checklist</x:v>
      </x:c>
      <x:c r="B11" s="46" t="str">
        <x:v>1) Open opt-in link  2) Become a tester  3) Install from Play Store  4) Scan one machine  5) Search one exercise  6) Try Coach  7) Stay opted in 14 days</x:v>
      </x:c>
      <x:c r="C11" s="46" t="str"/>
      <x:c r="D11" s="46" t="str"/>
    </x:row>
    <x:row r="12" ht="48" customHeight="1">
      <x:c r="A12" s="47" t="str">
        <x:v>Privacy</x:v>
      </x:c>
      <x:c r="B12" s="46" t="str">
        <x:v>Use tester contact information only for this closed test and normal SpotLift follow-up. Do not share the list.</x:v>
      </x:c>
      <x:c r="C12" s="46" t="str"/>
      <x:c r="D12" s="46" t="str"/>
    </x:row>
    <x:row r="13" ht="48" customHeight="1">
      <x:c r="A13" s="47" t="str">
        <x:v>Recruiting target</x:v>
      </x:c>
      <x:c r="B13" s="46" t="str">
        <x:v>Recruit 15 people to safely maintain the required 12 active testers.</x:v>
      </x:c>
      <x:c r="C13" s="46" t="str"/>
      <x:c r="D13" s="46" t="str"/>
    </x:row>
    <x:row r="14" ht="48" customHeight="1">
      <x:c r="A14" s="47" t="str">
        <x:v>Best candidates</x:v>
      </x:c>
      <x:c r="B14" s="46" t="str">
        <x:v>Regular gym members, trainers, friends, students, or family members who own Android devices and will genuinely install and try the app.</x:v>
      </x:c>
      <x:c r="C14" s="46" t="str"/>
      <x:c r="D14" s="46" t="str"/>
    </x:row>
  </x:sheetData>
  <x:mergeCells>
    <x:mergeCell ref="A1:D1"/>
  </x:mergeCells>
  <x:pageMargins left="0.7" right="0.7" top="0.75" bottom="0.75" header="0.3" footer="0.3"/>
</x:worksheet>
</file>